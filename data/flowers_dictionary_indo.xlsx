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enawiraatmadja/Desktop/data_and_analytics_stuff/lenas_garden/data/"/>
    </mc:Choice>
  </mc:AlternateContent>
  <xr:revisionPtr revIDLastSave="0" documentId="13_ncr:1_{109FEC49-7331-7246-9D2E-EE228685A1C5}" xr6:coauthVersionLast="47" xr6:coauthVersionMax="47" xr10:uidLastSave="{00000000-0000-0000-0000-000000000000}"/>
  <bookViews>
    <workbookView xWindow="1100" yWindow="820" windowWidth="28040" windowHeight="17440" xr2:uid="{00000000-000D-0000-FFFF-FFFF00000000}"/>
  </bookViews>
  <sheets>
    <sheet name="flowers_dictionary_in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96" i="1" l="1"/>
  <c r="H97" i="1"/>
  <c r="H98" i="1"/>
  <c r="H99" i="1"/>
  <c r="H95" i="1"/>
  <c r="G94" i="1"/>
  <c r="H93" i="1"/>
  <c r="H92" i="1"/>
  <c r="H91" i="1"/>
  <c r="H90" i="1"/>
  <c r="H89" i="1"/>
  <c r="H88" i="1"/>
  <c r="H87" i="1"/>
</calcChain>
</file>

<file path=xl/sharedStrings.xml><?xml version="1.0" encoding="utf-8"?>
<sst xmlns="http://schemas.openxmlformats.org/spreadsheetml/2006/main" count="597" uniqueCount="104">
  <si>
    <t>flower_type</t>
  </si>
  <si>
    <t>flower_name</t>
  </si>
  <si>
    <t>colours</t>
  </si>
  <si>
    <t>variant_name</t>
  </si>
  <si>
    <t>blooming_season</t>
  </si>
  <si>
    <t>import_non</t>
  </si>
  <si>
    <t>cost_per_stem</t>
  </si>
  <si>
    <t>focal flowers</t>
  </si>
  <si>
    <t>rose</t>
  </si>
  <si>
    <t>light pink</t>
  </si>
  <si>
    <t>sweet pink</t>
  </si>
  <si>
    <t>local</t>
  </si>
  <si>
    <t>red</t>
  </si>
  <si>
    <t>sexy red</t>
  </si>
  <si>
    <t>white</t>
  </si>
  <si>
    <t>avalan</t>
  </si>
  <si>
    <t>yellow</t>
  </si>
  <si>
    <t>mohana</t>
  </si>
  <si>
    <t>purple</t>
  </si>
  <si>
    <t>cool water</t>
  </si>
  <si>
    <t>orange</t>
  </si>
  <si>
    <t>fudu</t>
  </si>
  <si>
    <t>hot pink</t>
  </si>
  <si>
    <t>karina</t>
  </si>
  <si>
    <t>kahala</t>
  </si>
  <si>
    <t>peach</t>
  </si>
  <si>
    <t>ecuador</t>
  </si>
  <si>
    <t>quick sand</t>
  </si>
  <si>
    <t>cream</t>
  </si>
  <si>
    <t>ocean song</t>
  </si>
  <si>
    <t>light purple</t>
  </si>
  <si>
    <t>naomi</t>
  </si>
  <si>
    <t>dark red</t>
  </si>
  <si>
    <t>vietnam</t>
  </si>
  <si>
    <t>jumilia</t>
  </si>
  <si>
    <t>white pink</t>
  </si>
  <si>
    <t>baby love</t>
  </si>
  <si>
    <t>lysianthus</t>
  </si>
  <si>
    <t>pink</t>
  </si>
  <si>
    <t>green</t>
  </si>
  <si>
    <t>pink rim</t>
  </si>
  <si>
    <t>purple rim</t>
  </si>
  <si>
    <t>secondary focal flowers</t>
  </si>
  <si>
    <t>champagne</t>
  </si>
  <si>
    <t>tea color</t>
  </si>
  <si>
    <t>maroon</t>
  </si>
  <si>
    <t>china</t>
  </si>
  <si>
    <t>all season</t>
  </si>
  <si>
    <t>babys breath (gysophilla)</t>
  </si>
  <si>
    <t>fillers</t>
  </si>
  <si>
    <t>delphinium</t>
  </si>
  <si>
    <t>light blue</t>
  </si>
  <si>
    <t>chiffon blue</t>
  </si>
  <si>
    <t>May</t>
  </si>
  <si>
    <t>June</t>
  </si>
  <si>
    <t>July</t>
  </si>
  <si>
    <t>hydrangea</t>
  </si>
  <si>
    <t>cost_per_bunch</t>
  </si>
  <si>
    <t>quantity</t>
  </si>
  <si>
    <t>October</t>
  </si>
  <si>
    <t>charm</t>
  </si>
  <si>
    <t>Oct</t>
  </si>
  <si>
    <t>trophy</t>
  </si>
  <si>
    <t>chamomile</t>
  </si>
  <si>
    <t>carnations</t>
  </si>
  <si>
    <t>carnations spray</t>
  </si>
  <si>
    <t>calla lily</t>
  </si>
  <si>
    <t>duban</t>
  </si>
  <si>
    <t>August</t>
  </si>
  <si>
    <t>line flowers</t>
  </si>
  <si>
    <t>fantasia</t>
  </si>
  <si>
    <t>dark pink</t>
  </si>
  <si>
    <t>tulips</t>
  </si>
  <si>
    <t>strong gold</t>
  </si>
  <si>
    <t>holland</t>
  </si>
  <si>
    <t>April</t>
  </si>
  <si>
    <t>purple prince</t>
  </si>
  <si>
    <t>dynasty</t>
  </si>
  <si>
    <t>chrysant peony</t>
  </si>
  <si>
    <t>painted blue</t>
  </si>
  <si>
    <t>mauve</t>
  </si>
  <si>
    <t>blue</t>
  </si>
  <si>
    <t>pastel pink</t>
  </si>
  <si>
    <t>pastel purple</t>
  </si>
  <si>
    <t>painted dark pink</t>
  </si>
  <si>
    <t>painted light blue</t>
  </si>
  <si>
    <t>painted mauve</t>
  </si>
  <si>
    <t>painted orange</t>
  </si>
  <si>
    <t>painted pastel pink</t>
  </si>
  <si>
    <t>painted pastel purple</t>
  </si>
  <si>
    <t>September</t>
  </si>
  <si>
    <t>peony</t>
  </si>
  <si>
    <t>coral sunset</t>
  </si>
  <si>
    <t>red charm</t>
  </si>
  <si>
    <t>coral</t>
  </si>
  <si>
    <t>new_zealand</t>
  </si>
  <si>
    <t>sunflower</t>
  </si>
  <si>
    <t>queen anne's lace</t>
  </si>
  <si>
    <t>oncidium orchid</t>
  </si>
  <si>
    <t>yellow oncidium orchid</t>
  </si>
  <si>
    <t>Nov</t>
  </si>
  <si>
    <t>Dec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</si>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</sst>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0" fontId="18" fillId="33" borderId="10" xfId="0" applyFont="1" applyFill="1" applyBorder="1"/>
    <xf numFmtId="3" fontId="18" fillId="33" borderId="10" xfId="0" applyNumberFormat="1" applyFont="1" applyFill="1" applyBorder="1"/>
    <xf numFmtId="0" fontId="18" fillId="33" borderId="11" xfId="0" applyFont="1" applyFill="1" applyBorder="1"/>
    <xf numFmtId="0" fontId="18" fillId="0" borderId="10" xfId="0" applyFont="1" applyBorder="1"/>
    <xf numFmtId="3" fontId="18" fillId="0" borderId="10" xfId="0" applyNumberFormat="1" applyFont="1" applyBorder="1"/>
    <xf numFmtId="0" fontId="18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048574" totalsRowShown="0">
  <autoFilter ref="A1:I1048574" xr:uid="{00000000-0009-0000-0100-000001000000}"/>
  <tableColumns count="9">
    <tableColumn id="1" xr3:uid="{00000000-0010-0000-0000-000001000000}" name="flower_type"/>
    <tableColumn id="2" xr3:uid="{00000000-0010-0000-0000-000002000000}" name="flower_name"/>
    <tableColumn id="3" xr3:uid="{00000000-0010-0000-0000-000003000000}" name="colours"/>
    <tableColumn id="4" xr3:uid="{00000000-0010-0000-0000-000004000000}" name="variant_name"/>
    <tableColumn id="5" xr3:uid="{00000000-0010-0000-0000-000005000000}" name="blooming_season"/>
    <tableColumn id="6" xr3:uid="{00000000-0010-0000-0000-000006000000}" name="import_non"/>
    <tableColumn id="7" xr3:uid="{00000000-0010-0000-0000-000007000000}" name="cost_per_stem"/>
    <tableColumn id="8" xr3:uid="{00000000-0010-0000-0000-000008000000}" name="cost_per_bunch"/>
    <tableColumn id="9" xr3:uid="{00000000-0010-0000-0000-000009000000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workbookViewId="0">
      <selection activeCell="C97" sqref="C97"/>
    </sheetView>
  </sheetViews>
  <sheetFormatPr baseColWidth="10" defaultRowHeight="16" x14ac:dyDescent="0.2"/>
  <cols>
    <col min="1" max="1" width="37.5" customWidth="1"/>
    <col min="2" max="2" width="21.33203125" customWidth="1"/>
    <col min="4" max="4" width="27.83203125" customWidth="1"/>
    <col min="5" max="5" width="17.83203125" customWidth="1"/>
    <col min="6" max="6" width="13" customWidth="1"/>
    <col min="7" max="7" width="15.6640625" customWidth="1"/>
    <col min="8" max="8" width="16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57</v>
      </c>
      <c r="I1" t="s">
        <v>58</v>
      </c>
    </row>
    <row r="2" spans="1:9" x14ac:dyDescent="0.2">
      <c r="A2" t="s">
        <v>7</v>
      </c>
      <c r="B2" t="s">
        <v>8</v>
      </c>
      <c r="C2" t="s">
        <v>9</v>
      </c>
      <c r="D2" t="s">
        <v>10</v>
      </c>
      <c r="E2" t="s">
        <v>47</v>
      </c>
      <c r="F2" t="s">
        <v>11</v>
      </c>
      <c r="G2" s="1">
        <v>5000</v>
      </c>
      <c r="H2">
        <v>100000</v>
      </c>
      <c r="I2">
        <v>20</v>
      </c>
    </row>
    <row r="3" spans="1:9" x14ac:dyDescent="0.2">
      <c r="A3" t="s">
        <v>7</v>
      </c>
      <c r="B3" t="s">
        <v>8</v>
      </c>
      <c r="C3" t="s">
        <v>12</v>
      </c>
      <c r="D3" t="s">
        <v>13</v>
      </c>
      <c r="E3" t="s">
        <v>47</v>
      </c>
      <c r="F3" t="s">
        <v>11</v>
      </c>
      <c r="G3" s="1">
        <v>6750</v>
      </c>
      <c r="H3">
        <v>135000</v>
      </c>
      <c r="I3">
        <v>20</v>
      </c>
    </row>
    <row r="4" spans="1:9" x14ac:dyDescent="0.2">
      <c r="A4" t="s">
        <v>7</v>
      </c>
      <c r="B4" t="s">
        <v>8</v>
      </c>
      <c r="C4" t="s">
        <v>14</v>
      </c>
      <c r="D4" t="s">
        <v>15</v>
      </c>
      <c r="E4" t="s">
        <v>47</v>
      </c>
      <c r="F4" t="s">
        <v>11</v>
      </c>
      <c r="G4" s="1">
        <v>5000</v>
      </c>
      <c r="H4">
        <v>100000</v>
      </c>
      <c r="I4">
        <v>20</v>
      </c>
    </row>
    <row r="5" spans="1:9" x14ac:dyDescent="0.2">
      <c r="A5" t="s">
        <v>7</v>
      </c>
      <c r="B5" t="s">
        <v>8</v>
      </c>
      <c r="C5" t="s">
        <v>16</v>
      </c>
      <c r="D5" t="s">
        <v>17</v>
      </c>
      <c r="E5" t="s">
        <v>47</v>
      </c>
      <c r="F5" t="s">
        <v>11</v>
      </c>
      <c r="G5" s="1">
        <v>5000</v>
      </c>
      <c r="H5">
        <v>100000</v>
      </c>
      <c r="I5">
        <v>20</v>
      </c>
    </row>
    <row r="6" spans="1:9" x14ac:dyDescent="0.2">
      <c r="A6" t="s">
        <v>7</v>
      </c>
      <c r="B6" t="s">
        <v>8</v>
      </c>
      <c r="C6" t="s">
        <v>18</v>
      </c>
      <c r="D6" t="s">
        <v>19</v>
      </c>
      <c r="E6" t="s">
        <v>47</v>
      </c>
      <c r="F6" t="s">
        <v>11</v>
      </c>
      <c r="G6" s="1">
        <v>5000</v>
      </c>
      <c r="H6">
        <v>100000</v>
      </c>
      <c r="I6">
        <v>20</v>
      </c>
    </row>
    <row r="7" spans="1:9" x14ac:dyDescent="0.2">
      <c r="A7" t="s">
        <v>7</v>
      </c>
      <c r="B7" t="s">
        <v>8</v>
      </c>
      <c r="C7" t="s">
        <v>20</v>
      </c>
      <c r="D7" t="s">
        <v>21</v>
      </c>
      <c r="E7" t="s">
        <v>47</v>
      </c>
      <c r="F7" t="s">
        <v>11</v>
      </c>
      <c r="G7" s="1">
        <v>5000</v>
      </c>
      <c r="H7">
        <v>100000</v>
      </c>
      <c r="I7">
        <v>20</v>
      </c>
    </row>
    <row r="8" spans="1:9" x14ac:dyDescent="0.2">
      <c r="A8" t="s">
        <v>7</v>
      </c>
      <c r="B8" t="s">
        <v>8</v>
      </c>
      <c r="C8" t="s">
        <v>22</v>
      </c>
      <c r="D8" t="s">
        <v>23</v>
      </c>
      <c r="E8" t="s">
        <v>47</v>
      </c>
      <c r="F8" t="s">
        <v>11</v>
      </c>
      <c r="G8" s="1">
        <v>5000</v>
      </c>
      <c r="H8">
        <v>100000</v>
      </c>
      <c r="I8">
        <v>20</v>
      </c>
    </row>
    <row r="9" spans="1:9" x14ac:dyDescent="0.2">
      <c r="A9" t="s">
        <v>7</v>
      </c>
      <c r="B9" t="s">
        <v>8</v>
      </c>
      <c r="C9" t="s">
        <v>25</v>
      </c>
      <c r="D9" t="s">
        <v>24</v>
      </c>
      <c r="E9" t="s">
        <v>47</v>
      </c>
      <c r="F9" t="s">
        <v>26</v>
      </c>
      <c r="G9" s="1">
        <v>27000</v>
      </c>
      <c r="H9">
        <v>540000</v>
      </c>
      <c r="I9">
        <v>20</v>
      </c>
    </row>
    <row r="10" spans="1:9" x14ac:dyDescent="0.2">
      <c r="A10" t="s">
        <v>7</v>
      </c>
      <c r="B10" t="s">
        <v>8</v>
      </c>
      <c r="C10" t="s">
        <v>28</v>
      </c>
      <c r="D10" t="s">
        <v>27</v>
      </c>
      <c r="E10" t="s">
        <v>47</v>
      </c>
      <c r="F10" t="s">
        <v>26</v>
      </c>
      <c r="G10" s="1">
        <v>21000</v>
      </c>
      <c r="H10">
        <v>420000</v>
      </c>
      <c r="I10">
        <v>20</v>
      </c>
    </row>
    <row r="11" spans="1:9" x14ac:dyDescent="0.2">
      <c r="A11" t="s">
        <v>7</v>
      </c>
      <c r="B11" t="s">
        <v>8</v>
      </c>
      <c r="C11" t="s">
        <v>30</v>
      </c>
      <c r="D11" t="s">
        <v>29</v>
      </c>
      <c r="E11" t="s">
        <v>47</v>
      </c>
      <c r="F11" t="s">
        <v>26</v>
      </c>
      <c r="G11" s="1">
        <v>18000</v>
      </c>
      <c r="H11">
        <v>360000</v>
      </c>
      <c r="I11">
        <v>20</v>
      </c>
    </row>
    <row r="12" spans="1:9" x14ac:dyDescent="0.2">
      <c r="A12" t="s">
        <v>7</v>
      </c>
      <c r="B12" t="s">
        <v>8</v>
      </c>
      <c r="C12" t="s">
        <v>32</v>
      </c>
      <c r="D12" t="s">
        <v>31</v>
      </c>
      <c r="E12" t="s">
        <v>47</v>
      </c>
      <c r="F12" t="s">
        <v>33</v>
      </c>
      <c r="G12" s="1">
        <v>12500</v>
      </c>
      <c r="H12">
        <v>250000</v>
      </c>
      <c r="I12">
        <v>20</v>
      </c>
    </row>
    <row r="13" spans="1:9" x14ac:dyDescent="0.2">
      <c r="A13" t="s">
        <v>7</v>
      </c>
      <c r="B13" t="s">
        <v>8</v>
      </c>
      <c r="C13" t="s">
        <v>35</v>
      </c>
      <c r="D13" t="s">
        <v>34</v>
      </c>
      <c r="E13" t="s">
        <v>47</v>
      </c>
      <c r="F13" t="s">
        <v>33</v>
      </c>
      <c r="G13" s="1">
        <v>12500</v>
      </c>
      <c r="H13">
        <v>250000</v>
      </c>
      <c r="I13">
        <v>20</v>
      </c>
    </row>
    <row r="14" spans="1:9" x14ac:dyDescent="0.2">
      <c r="A14" t="s">
        <v>7</v>
      </c>
      <c r="B14" t="s">
        <v>8</v>
      </c>
      <c r="C14" t="s">
        <v>9</v>
      </c>
      <c r="D14" t="s">
        <v>36</v>
      </c>
      <c r="E14" t="s">
        <v>47</v>
      </c>
      <c r="F14" t="s">
        <v>33</v>
      </c>
      <c r="G14" s="1">
        <v>12500</v>
      </c>
      <c r="H14">
        <v>250000</v>
      </c>
      <c r="I14">
        <v>20</v>
      </c>
    </row>
    <row r="15" spans="1:9" x14ac:dyDescent="0.2">
      <c r="A15" t="s">
        <v>42</v>
      </c>
      <c r="B15" t="s">
        <v>37</v>
      </c>
      <c r="C15" t="s">
        <v>38</v>
      </c>
      <c r="D15" t="s">
        <v>38</v>
      </c>
      <c r="E15" t="s">
        <v>47</v>
      </c>
      <c r="F15" t="s">
        <v>33</v>
      </c>
      <c r="G15" s="1">
        <v>18000</v>
      </c>
      <c r="H15">
        <v>180000</v>
      </c>
      <c r="I15">
        <v>10</v>
      </c>
    </row>
    <row r="16" spans="1:9" x14ac:dyDescent="0.2">
      <c r="A16" t="s">
        <v>42</v>
      </c>
      <c r="B16" t="s">
        <v>37</v>
      </c>
      <c r="C16" t="s">
        <v>39</v>
      </c>
      <c r="D16" t="s">
        <v>39</v>
      </c>
      <c r="E16" t="s">
        <v>47</v>
      </c>
      <c r="F16" t="s">
        <v>33</v>
      </c>
      <c r="G16" s="1">
        <v>18000</v>
      </c>
      <c r="H16">
        <v>180000</v>
      </c>
      <c r="I16">
        <v>10</v>
      </c>
    </row>
    <row r="17" spans="1:9" x14ac:dyDescent="0.2">
      <c r="A17" t="s">
        <v>42</v>
      </c>
      <c r="B17" t="s">
        <v>37</v>
      </c>
      <c r="C17" t="s">
        <v>40</v>
      </c>
      <c r="D17" t="s">
        <v>40</v>
      </c>
      <c r="E17" t="s">
        <v>47</v>
      </c>
      <c r="F17" t="s">
        <v>33</v>
      </c>
      <c r="G17" s="1">
        <v>18000</v>
      </c>
      <c r="H17">
        <v>180000</v>
      </c>
      <c r="I17">
        <v>10</v>
      </c>
    </row>
    <row r="18" spans="1:9" x14ac:dyDescent="0.2">
      <c r="A18" t="s">
        <v>42</v>
      </c>
      <c r="B18" t="s">
        <v>37</v>
      </c>
      <c r="C18" t="s">
        <v>18</v>
      </c>
      <c r="D18" t="s">
        <v>18</v>
      </c>
      <c r="E18" t="s">
        <v>47</v>
      </c>
      <c r="F18" t="s">
        <v>33</v>
      </c>
      <c r="G18" s="1">
        <v>18000</v>
      </c>
      <c r="H18">
        <v>180000</v>
      </c>
      <c r="I18">
        <v>10</v>
      </c>
    </row>
    <row r="19" spans="1:9" x14ac:dyDescent="0.2">
      <c r="A19" t="s">
        <v>42</v>
      </c>
      <c r="B19" t="s">
        <v>37</v>
      </c>
      <c r="C19" t="s">
        <v>41</v>
      </c>
      <c r="D19" t="s">
        <v>41</v>
      </c>
      <c r="E19" t="s">
        <v>47</v>
      </c>
      <c r="F19" t="s">
        <v>33</v>
      </c>
      <c r="G19" s="1">
        <v>18000</v>
      </c>
      <c r="H19">
        <v>180000</v>
      </c>
      <c r="I19">
        <v>10</v>
      </c>
    </row>
    <row r="20" spans="1:9" x14ac:dyDescent="0.2">
      <c r="A20" t="s">
        <v>42</v>
      </c>
      <c r="B20" t="s">
        <v>37</v>
      </c>
      <c r="C20" t="s">
        <v>14</v>
      </c>
      <c r="D20" t="s">
        <v>14</v>
      </c>
      <c r="E20" t="s">
        <v>47</v>
      </c>
      <c r="F20" t="s">
        <v>33</v>
      </c>
      <c r="G20" s="1">
        <v>18000</v>
      </c>
      <c r="H20">
        <v>180000</v>
      </c>
      <c r="I20">
        <v>10</v>
      </c>
    </row>
    <row r="21" spans="1:9" x14ac:dyDescent="0.2">
      <c r="A21" t="s">
        <v>42</v>
      </c>
      <c r="B21" t="s">
        <v>37</v>
      </c>
      <c r="C21" t="s">
        <v>16</v>
      </c>
      <c r="D21" t="s">
        <v>16</v>
      </c>
      <c r="E21" t="s">
        <v>47</v>
      </c>
      <c r="F21" t="s">
        <v>33</v>
      </c>
      <c r="G21" s="1">
        <v>18000</v>
      </c>
      <c r="H21">
        <v>180000</v>
      </c>
      <c r="I21">
        <v>10</v>
      </c>
    </row>
    <row r="22" spans="1:9" x14ac:dyDescent="0.2">
      <c r="A22" t="s">
        <v>42</v>
      </c>
      <c r="B22" t="s">
        <v>37</v>
      </c>
      <c r="C22" t="s">
        <v>43</v>
      </c>
      <c r="D22" t="s">
        <v>43</v>
      </c>
      <c r="E22" t="s">
        <v>47</v>
      </c>
      <c r="F22" t="s">
        <v>46</v>
      </c>
      <c r="G22" s="1">
        <v>22500</v>
      </c>
      <c r="H22">
        <v>225000</v>
      </c>
      <c r="I22">
        <v>10</v>
      </c>
    </row>
    <row r="23" spans="1:9" x14ac:dyDescent="0.2">
      <c r="A23" t="s">
        <v>42</v>
      </c>
      <c r="B23" t="s">
        <v>37</v>
      </c>
      <c r="C23" t="s">
        <v>44</v>
      </c>
      <c r="D23" t="s">
        <v>45</v>
      </c>
      <c r="E23" t="s">
        <v>47</v>
      </c>
      <c r="F23" t="s">
        <v>46</v>
      </c>
      <c r="G23" s="1">
        <v>22500</v>
      </c>
      <c r="H23">
        <v>225000</v>
      </c>
      <c r="I23">
        <v>10</v>
      </c>
    </row>
    <row r="24" spans="1:9" x14ac:dyDescent="0.2">
      <c r="A24" t="s">
        <v>42</v>
      </c>
      <c r="B24" t="s">
        <v>37</v>
      </c>
      <c r="C24" t="s">
        <v>12</v>
      </c>
      <c r="D24" t="s">
        <v>12</v>
      </c>
      <c r="E24" t="s">
        <v>47</v>
      </c>
      <c r="F24" t="s">
        <v>46</v>
      </c>
      <c r="G24" s="1">
        <v>22500</v>
      </c>
      <c r="H24">
        <v>225000</v>
      </c>
      <c r="I24">
        <v>10</v>
      </c>
    </row>
    <row r="25" spans="1:9" x14ac:dyDescent="0.2">
      <c r="A25" t="s">
        <v>42</v>
      </c>
      <c r="B25" t="s">
        <v>37</v>
      </c>
      <c r="C25" t="s">
        <v>14</v>
      </c>
      <c r="D25" t="s">
        <v>14</v>
      </c>
      <c r="E25" t="s">
        <v>47</v>
      </c>
      <c r="F25" t="s">
        <v>46</v>
      </c>
      <c r="G25" s="1">
        <v>22500</v>
      </c>
      <c r="H25">
        <v>225000</v>
      </c>
      <c r="I25">
        <v>10</v>
      </c>
    </row>
    <row r="26" spans="1:9" x14ac:dyDescent="0.2">
      <c r="A26" t="s">
        <v>49</v>
      </c>
      <c r="B26" t="s">
        <v>48</v>
      </c>
      <c r="C26" t="s">
        <v>14</v>
      </c>
      <c r="D26" t="s">
        <v>14</v>
      </c>
      <c r="E26" t="s">
        <v>47</v>
      </c>
      <c r="F26" t="s">
        <v>26</v>
      </c>
      <c r="G26" s="1">
        <v>18000</v>
      </c>
      <c r="H26">
        <v>180000</v>
      </c>
      <c r="I26">
        <v>10</v>
      </c>
    </row>
    <row r="27" spans="1:9" x14ac:dyDescent="0.2">
      <c r="A27" t="s">
        <v>69</v>
      </c>
      <c r="B27" t="s">
        <v>50</v>
      </c>
      <c r="C27" t="s">
        <v>51</v>
      </c>
      <c r="D27" t="s">
        <v>52</v>
      </c>
      <c r="E27" t="s">
        <v>53</v>
      </c>
      <c r="F27" t="s">
        <v>11</v>
      </c>
      <c r="G27" s="1">
        <v>50000</v>
      </c>
      <c r="H27">
        <v>250000</v>
      </c>
      <c r="I27">
        <v>5</v>
      </c>
    </row>
    <row r="28" spans="1:9" x14ac:dyDescent="0.2">
      <c r="A28" t="s">
        <v>69</v>
      </c>
      <c r="B28" t="s">
        <v>50</v>
      </c>
      <c r="C28" t="s">
        <v>51</v>
      </c>
      <c r="D28" t="s">
        <v>52</v>
      </c>
      <c r="E28" t="s">
        <v>54</v>
      </c>
      <c r="F28" t="s">
        <v>11</v>
      </c>
      <c r="G28" s="1">
        <v>50000</v>
      </c>
      <c r="H28">
        <v>250000</v>
      </c>
      <c r="I28">
        <v>5</v>
      </c>
    </row>
    <row r="29" spans="1:9" x14ac:dyDescent="0.2">
      <c r="A29" t="s">
        <v>69</v>
      </c>
      <c r="B29" t="s">
        <v>50</v>
      </c>
      <c r="C29" t="s">
        <v>51</v>
      </c>
      <c r="D29" t="s">
        <v>52</v>
      </c>
      <c r="E29" t="s">
        <v>55</v>
      </c>
      <c r="F29" t="s">
        <v>11</v>
      </c>
      <c r="G29" s="1">
        <v>50000</v>
      </c>
      <c r="H29">
        <v>250000</v>
      </c>
      <c r="I29">
        <v>5</v>
      </c>
    </row>
    <row r="30" spans="1:9" x14ac:dyDescent="0.2">
      <c r="A30" t="s">
        <v>49</v>
      </c>
      <c r="B30" t="s">
        <v>56</v>
      </c>
      <c r="C30" t="s">
        <v>51</v>
      </c>
      <c r="D30" t="s">
        <v>51</v>
      </c>
      <c r="E30" t="s">
        <v>54</v>
      </c>
      <c r="F30" t="s">
        <v>11</v>
      </c>
      <c r="G30" s="1">
        <v>0</v>
      </c>
      <c r="H30" s="1">
        <v>50000</v>
      </c>
      <c r="I30">
        <v>1</v>
      </c>
    </row>
    <row r="31" spans="1:9" x14ac:dyDescent="0.2">
      <c r="A31" t="s">
        <v>49</v>
      </c>
      <c r="B31" t="s">
        <v>56</v>
      </c>
      <c r="C31" t="s">
        <v>51</v>
      </c>
      <c r="D31" t="s">
        <v>51</v>
      </c>
      <c r="E31" t="s">
        <v>54</v>
      </c>
      <c r="F31" t="s">
        <v>11</v>
      </c>
      <c r="G31" s="1">
        <v>0</v>
      </c>
      <c r="H31" s="1">
        <v>50000</v>
      </c>
      <c r="I31">
        <v>1</v>
      </c>
    </row>
    <row r="32" spans="1:9" x14ac:dyDescent="0.2">
      <c r="A32" t="s">
        <v>49</v>
      </c>
      <c r="B32" t="s">
        <v>56</v>
      </c>
      <c r="C32" t="s">
        <v>51</v>
      </c>
      <c r="D32" t="s">
        <v>51</v>
      </c>
      <c r="E32" t="s">
        <v>55</v>
      </c>
      <c r="F32" t="s">
        <v>11</v>
      </c>
      <c r="G32" s="1">
        <v>0</v>
      </c>
      <c r="H32" s="1">
        <v>50000</v>
      </c>
      <c r="I32">
        <v>1</v>
      </c>
    </row>
    <row r="33" spans="1:9" x14ac:dyDescent="0.2">
      <c r="A33" t="s">
        <v>49</v>
      </c>
      <c r="B33" t="s">
        <v>56</v>
      </c>
      <c r="C33" t="s">
        <v>51</v>
      </c>
      <c r="D33" t="s">
        <v>51</v>
      </c>
      <c r="E33" t="s">
        <v>55</v>
      </c>
      <c r="F33" t="s">
        <v>11</v>
      </c>
      <c r="G33" s="1">
        <v>0</v>
      </c>
      <c r="H33" s="1">
        <v>50000</v>
      </c>
      <c r="I33">
        <v>1</v>
      </c>
    </row>
    <row r="34" spans="1:9" x14ac:dyDescent="0.2">
      <c r="A34" t="s">
        <v>49</v>
      </c>
      <c r="B34" t="s">
        <v>56</v>
      </c>
      <c r="C34" t="s">
        <v>51</v>
      </c>
      <c r="D34" t="s">
        <v>51</v>
      </c>
      <c r="E34" t="s">
        <v>59</v>
      </c>
      <c r="F34" t="s">
        <v>11</v>
      </c>
      <c r="G34" s="1">
        <v>0</v>
      </c>
      <c r="H34" s="1">
        <v>50000</v>
      </c>
      <c r="I34">
        <v>1</v>
      </c>
    </row>
    <row r="35" spans="1:9" x14ac:dyDescent="0.2">
      <c r="A35" t="s">
        <v>49</v>
      </c>
      <c r="B35" t="s">
        <v>56</v>
      </c>
      <c r="C35" t="s">
        <v>51</v>
      </c>
      <c r="D35" t="s">
        <v>51</v>
      </c>
      <c r="E35" t="s">
        <v>59</v>
      </c>
      <c r="F35" t="s">
        <v>11</v>
      </c>
      <c r="G35" s="1">
        <v>0</v>
      </c>
      <c r="H35" s="1">
        <v>50000</v>
      </c>
      <c r="I35">
        <v>1</v>
      </c>
    </row>
    <row r="36" spans="1:9" x14ac:dyDescent="0.2">
      <c r="A36" t="s">
        <v>49</v>
      </c>
      <c r="B36" t="s">
        <v>56</v>
      </c>
      <c r="C36" t="s">
        <v>39</v>
      </c>
      <c r="D36" t="s">
        <v>39</v>
      </c>
      <c r="E36" t="s">
        <v>54</v>
      </c>
      <c r="F36" t="s">
        <v>11</v>
      </c>
      <c r="G36" s="1">
        <v>0</v>
      </c>
      <c r="H36" s="1">
        <v>40000</v>
      </c>
      <c r="I36">
        <v>1</v>
      </c>
    </row>
    <row r="37" spans="1:9" x14ac:dyDescent="0.2">
      <c r="A37" t="s">
        <v>49</v>
      </c>
      <c r="B37" t="s">
        <v>56</v>
      </c>
      <c r="C37" t="s">
        <v>39</v>
      </c>
      <c r="D37" t="s">
        <v>39</v>
      </c>
      <c r="E37" t="s">
        <v>54</v>
      </c>
      <c r="F37" t="s">
        <v>11</v>
      </c>
      <c r="G37" s="1">
        <v>0</v>
      </c>
      <c r="H37" s="1">
        <v>40000</v>
      </c>
      <c r="I37">
        <v>1</v>
      </c>
    </row>
    <row r="38" spans="1:9" x14ac:dyDescent="0.2">
      <c r="A38" t="s">
        <v>49</v>
      </c>
      <c r="B38" t="s">
        <v>56</v>
      </c>
      <c r="C38" t="s">
        <v>39</v>
      </c>
      <c r="D38" t="s">
        <v>39</v>
      </c>
      <c r="E38" t="s">
        <v>55</v>
      </c>
      <c r="F38" t="s">
        <v>11</v>
      </c>
      <c r="G38" s="1">
        <v>0</v>
      </c>
      <c r="H38" s="1">
        <v>40000</v>
      </c>
      <c r="I38">
        <v>1</v>
      </c>
    </row>
    <row r="39" spans="1:9" x14ac:dyDescent="0.2">
      <c r="A39" t="s">
        <v>49</v>
      </c>
      <c r="B39" t="s">
        <v>56</v>
      </c>
      <c r="C39" t="s">
        <v>39</v>
      </c>
      <c r="D39" t="s">
        <v>39</v>
      </c>
      <c r="E39" t="s">
        <v>55</v>
      </c>
      <c r="F39" t="s">
        <v>11</v>
      </c>
      <c r="G39" s="1">
        <v>0</v>
      </c>
      <c r="H39" s="1">
        <v>40000</v>
      </c>
      <c r="I39">
        <v>1</v>
      </c>
    </row>
    <row r="40" spans="1:9" x14ac:dyDescent="0.2">
      <c r="A40" t="s">
        <v>49</v>
      </c>
      <c r="B40" t="s">
        <v>56</v>
      </c>
      <c r="C40" t="s">
        <v>39</v>
      </c>
      <c r="D40" t="s">
        <v>39</v>
      </c>
      <c r="E40" t="s">
        <v>59</v>
      </c>
      <c r="F40" t="s">
        <v>11</v>
      </c>
      <c r="G40" s="1">
        <v>0</v>
      </c>
      <c r="H40" s="1">
        <v>40000</v>
      </c>
      <c r="I40">
        <v>1</v>
      </c>
    </row>
    <row r="41" spans="1:9" x14ac:dyDescent="0.2">
      <c r="A41" t="s">
        <v>49</v>
      </c>
      <c r="B41" t="s">
        <v>56</v>
      </c>
      <c r="C41" t="s">
        <v>39</v>
      </c>
      <c r="D41" t="s">
        <v>39</v>
      </c>
      <c r="E41" t="s">
        <v>59</v>
      </c>
      <c r="F41" t="s">
        <v>11</v>
      </c>
      <c r="G41" s="1">
        <v>0</v>
      </c>
      <c r="H41" s="1">
        <v>40000</v>
      </c>
      <c r="I41">
        <v>1</v>
      </c>
    </row>
    <row r="42" spans="1:9" x14ac:dyDescent="0.2">
      <c r="A42" t="s">
        <v>49</v>
      </c>
      <c r="B42" t="s">
        <v>56</v>
      </c>
      <c r="C42" t="s">
        <v>9</v>
      </c>
      <c r="D42" t="s">
        <v>60</v>
      </c>
      <c r="E42" t="s">
        <v>54</v>
      </c>
      <c r="F42" t="s">
        <v>33</v>
      </c>
      <c r="G42">
        <v>0</v>
      </c>
      <c r="H42" s="1">
        <v>65000</v>
      </c>
      <c r="I42">
        <v>1</v>
      </c>
    </row>
    <row r="43" spans="1:9" x14ac:dyDescent="0.2">
      <c r="A43" t="s">
        <v>49</v>
      </c>
      <c r="B43" t="s">
        <v>56</v>
      </c>
      <c r="C43" t="s">
        <v>9</v>
      </c>
      <c r="D43" t="s">
        <v>60</v>
      </c>
      <c r="E43" t="s">
        <v>55</v>
      </c>
      <c r="F43" t="s">
        <v>33</v>
      </c>
      <c r="G43">
        <v>0</v>
      </c>
      <c r="H43" s="1">
        <v>65000</v>
      </c>
      <c r="I43">
        <v>1</v>
      </c>
    </row>
    <row r="44" spans="1:9" x14ac:dyDescent="0.2">
      <c r="A44" t="s">
        <v>49</v>
      </c>
      <c r="B44" t="s">
        <v>56</v>
      </c>
      <c r="C44" t="s">
        <v>9</v>
      </c>
      <c r="D44" t="s">
        <v>60</v>
      </c>
      <c r="E44" t="s">
        <v>61</v>
      </c>
      <c r="F44" t="s">
        <v>33</v>
      </c>
      <c r="G44">
        <v>0</v>
      </c>
      <c r="H44" s="1">
        <v>65000</v>
      </c>
      <c r="I44">
        <v>1</v>
      </c>
    </row>
    <row r="45" spans="1:9" x14ac:dyDescent="0.2">
      <c r="A45" t="s">
        <v>49</v>
      </c>
      <c r="B45" t="s">
        <v>56</v>
      </c>
      <c r="C45" t="s">
        <v>14</v>
      </c>
      <c r="D45" t="s">
        <v>14</v>
      </c>
      <c r="E45" t="s">
        <v>54</v>
      </c>
      <c r="F45" t="s">
        <v>33</v>
      </c>
      <c r="G45">
        <v>0</v>
      </c>
      <c r="H45" s="1">
        <v>65000</v>
      </c>
      <c r="I45">
        <v>1</v>
      </c>
    </row>
    <row r="46" spans="1:9" x14ac:dyDescent="0.2">
      <c r="A46" t="s">
        <v>49</v>
      </c>
      <c r="B46" t="s">
        <v>56</v>
      </c>
      <c r="C46" t="s">
        <v>14</v>
      </c>
      <c r="D46" t="s">
        <v>14</v>
      </c>
      <c r="E46" t="s">
        <v>55</v>
      </c>
      <c r="F46" t="s">
        <v>33</v>
      </c>
      <c r="G46">
        <v>0</v>
      </c>
      <c r="H46" s="1">
        <v>65000</v>
      </c>
      <c r="I46">
        <v>1</v>
      </c>
    </row>
    <row r="47" spans="1:9" x14ac:dyDescent="0.2">
      <c r="A47" t="s">
        <v>49</v>
      </c>
      <c r="B47" t="s">
        <v>56</v>
      </c>
      <c r="C47" t="s">
        <v>14</v>
      </c>
      <c r="D47" t="s">
        <v>14</v>
      </c>
      <c r="E47" t="s">
        <v>61</v>
      </c>
      <c r="F47" t="s">
        <v>33</v>
      </c>
      <c r="G47">
        <v>0</v>
      </c>
      <c r="H47" s="1">
        <v>65000</v>
      </c>
      <c r="I47">
        <v>1</v>
      </c>
    </row>
    <row r="48" spans="1:9" x14ac:dyDescent="0.2">
      <c r="A48" t="s">
        <v>49</v>
      </c>
      <c r="B48" t="s">
        <v>56</v>
      </c>
      <c r="C48" t="s">
        <v>12</v>
      </c>
      <c r="D48" t="s">
        <v>62</v>
      </c>
      <c r="E48" t="s">
        <v>54</v>
      </c>
      <c r="F48" t="s">
        <v>33</v>
      </c>
      <c r="G48">
        <v>0</v>
      </c>
      <c r="H48" s="1">
        <v>65000</v>
      </c>
      <c r="I48">
        <v>1</v>
      </c>
    </row>
    <row r="49" spans="1:9" x14ac:dyDescent="0.2">
      <c r="A49" t="s">
        <v>49</v>
      </c>
      <c r="B49" t="s">
        <v>56</v>
      </c>
      <c r="C49" t="s">
        <v>12</v>
      </c>
      <c r="D49" t="s">
        <v>62</v>
      </c>
      <c r="E49" t="s">
        <v>55</v>
      </c>
      <c r="F49" t="s">
        <v>33</v>
      </c>
      <c r="G49">
        <v>0</v>
      </c>
      <c r="H49" s="1">
        <v>65000</v>
      </c>
      <c r="I49">
        <v>1</v>
      </c>
    </row>
    <row r="50" spans="1:9" x14ac:dyDescent="0.2">
      <c r="A50" t="s">
        <v>49</v>
      </c>
      <c r="B50" t="s">
        <v>56</v>
      </c>
      <c r="C50" t="s">
        <v>12</v>
      </c>
      <c r="D50" t="s">
        <v>62</v>
      </c>
      <c r="E50" t="s">
        <v>61</v>
      </c>
      <c r="F50" t="s">
        <v>33</v>
      </c>
      <c r="G50">
        <v>0</v>
      </c>
      <c r="H50" s="1">
        <v>65000</v>
      </c>
      <c r="I50">
        <v>1</v>
      </c>
    </row>
    <row r="51" spans="1:9" x14ac:dyDescent="0.2">
      <c r="A51" t="s">
        <v>49</v>
      </c>
      <c r="B51" t="s">
        <v>63</v>
      </c>
      <c r="C51" t="s">
        <v>14</v>
      </c>
      <c r="D51" t="s">
        <v>14</v>
      </c>
      <c r="E51" t="s">
        <v>47</v>
      </c>
      <c r="F51" t="s">
        <v>11</v>
      </c>
      <c r="G51">
        <v>0</v>
      </c>
      <c r="H51" s="1">
        <v>150000</v>
      </c>
      <c r="I51">
        <v>1</v>
      </c>
    </row>
    <row r="52" spans="1:9" x14ac:dyDescent="0.2">
      <c r="A52" t="s">
        <v>42</v>
      </c>
      <c r="B52" t="s">
        <v>64</v>
      </c>
      <c r="C52" t="s">
        <v>38</v>
      </c>
      <c r="D52" t="s">
        <v>38</v>
      </c>
      <c r="E52" t="s">
        <v>47</v>
      </c>
      <c r="F52" t="s">
        <v>11</v>
      </c>
      <c r="G52">
        <v>4500</v>
      </c>
      <c r="H52" s="1">
        <v>45000</v>
      </c>
      <c r="I52">
        <v>1</v>
      </c>
    </row>
    <row r="53" spans="1:9" x14ac:dyDescent="0.2">
      <c r="A53" t="s">
        <v>42</v>
      </c>
      <c r="B53" t="s">
        <v>64</v>
      </c>
      <c r="C53" t="s">
        <v>12</v>
      </c>
      <c r="D53" t="s">
        <v>12</v>
      </c>
      <c r="E53" t="s">
        <v>47</v>
      </c>
      <c r="F53" t="s">
        <v>11</v>
      </c>
      <c r="G53">
        <v>4500</v>
      </c>
      <c r="H53" s="1">
        <v>45000</v>
      </c>
      <c r="I53">
        <v>1</v>
      </c>
    </row>
    <row r="54" spans="1:9" x14ac:dyDescent="0.2">
      <c r="A54" t="s">
        <v>42</v>
      </c>
      <c r="B54" t="s">
        <v>64</v>
      </c>
      <c r="C54" t="s">
        <v>14</v>
      </c>
      <c r="D54" t="s">
        <v>14</v>
      </c>
      <c r="E54" t="s">
        <v>47</v>
      </c>
      <c r="F54" t="s">
        <v>11</v>
      </c>
      <c r="G54">
        <v>4500</v>
      </c>
      <c r="H54" s="1">
        <v>45000</v>
      </c>
      <c r="I54">
        <v>1</v>
      </c>
    </row>
    <row r="55" spans="1:9" x14ac:dyDescent="0.2">
      <c r="A55" t="s">
        <v>42</v>
      </c>
      <c r="B55" t="s">
        <v>64</v>
      </c>
      <c r="C55" t="s">
        <v>25</v>
      </c>
      <c r="D55" t="s">
        <v>25</v>
      </c>
      <c r="E55" t="s">
        <v>47</v>
      </c>
      <c r="F55" t="s">
        <v>11</v>
      </c>
      <c r="G55">
        <v>4500</v>
      </c>
      <c r="H55" s="1">
        <v>45000</v>
      </c>
      <c r="I55">
        <v>1</v>
      </c>
    </row>
    <row r="56" spans="1:9" x14ac:dyDescent="0.2">
      <c r="A56" t="s">
        <v>49</v>
      </c>
      <c r="B56" t="s">
        <v>65</v>
      </c>
      <c r="C56" t="s">
        <v>38</v>
      </c>
      <c r="D56" t="s">
        <v>38</v>
      </c>
      <c r="E56" t="s">
        <v>47</v>
      </c>
      <c r="F56" t="s">
        <v>11</v>
      </c>
      <c r="G56">
        <v>4500</v>
      </c>
      <c r="H56" s="1">
        <v>45000</v>
      </c>
      <c r="I56">
        <v>1</v>
      </c>
    </row>
    <row r="57" spans="1:9" x14ac:dyDescent="0.2">
      <c r="A57" t="s">
        <v>49</v>
      </c>
      <c r="B57" t="s">
        <v>65</v>
      </c>
      <c r="C57" t="s">
        <v>12</v>
      </c>
      <c r="D57" t="s">
        <v>12</v>
      </c>
      <c r="E57" t="s">
        <v>47</v>
      </c>
      <c r="F57" t="s">
        <v>11</v>
      </c>
      <c r="G57">
        <v>4500</v>
      </c>
      <c r="H57" s="1">
        <v>45000</v>
      </c>
      <c r="I57">
        <v>1</v>
      </c>
    </row>
    <row r="58" spans="1:9" x14ac:dyDescent="0.2">
      <c r="A58" t="s">
        <v>49</v>
      </c>
      <c r="B58" t="s">
        <v>65</v>
      </c>
      <c r="C58" t="s">
        <v>14</v>
      </c>
      <c r="D58" t="s">
        <v>14</v>
      </c>
      <c r="E58" t="s">
        <v>47</v>
      </c>
      <c r="F58" t="s">
        <v>11</v>
      </c>
      <c r="G58">
        <v>4500</v>
      </c>
      <c r="H58" s="1">
        <v>45000</v>
      </c>
      <c r="I58">
        <v>1</v>
      </c>
    </row>
    <row r="59" spans="1:9" x14ac:dyDescent="0.2">
      <c r="A59" t="s">
        <v>49</v>
      </c>
      <c r="B59" t="s">
        <v>65</v>
      </c>
      <c r="C59" t="s">
        <v>20</v>
      </c>
      <c r="D59" t="s">
        <v>20</v>
      </c>
      <c r="E59" t="s">
        <v>47</v>
      </c>
      <c r="F59" t="s">
        <v>11</v>
      </c>
      <c r="G59">
        <v>4500</v>
      </c>
      <c r="H59" s="1">
        <v>45000</v>
      </c>
      <c r="I59">
        <v>1</v>
      </c>
    </row>
    <row r="60" spans="1:9" x14ac:dyDescent="0.2">
      <c r="A60" t="s">
        <v>69</v>
      </c>
      <c r="B60" t="s">
        <v>66</v>
      </c>
      <c r="C60" t="s">
        <v>67</v>
      </c>
      <c r="D60" t="s">
        <v>18</v>
      </c>
      <c r="E60" t="s">
        <v>53</v>
      </c>
      <c r="F60" t="s">
        <v>33</v>
      </c>
      <c r="G60" s="1">
        <v>50000</v>
      </c>
      <c r="H60" s="1">
        <v>250000</v>
      </c>
      <c r="I60">
        <v>5</v>
      </c>
    </row>
    <row r="61" spans="1:9" x14ac:dyDescent="0.2">
      <c r="A61" t="s">
        <v>69</v>
      </c>
      <c r="B61" t="s">
        <v>66</v>
      </c>
      <c r="C61" t="s">
        <v>67</v>
      </c>
      <c r="D61" t="s">
        <v>18</v>
      </c>
      <c r="E61" t="s">
        <v>54</v>
      </c>
      <c r="F61" t="s">
        <v>33</v>
      </c>
      <c r="G61" s="1">
        <v>50000</v>
      </c>
      <c r="H61" s="1">
        <v>250000</v>
      </c>
      <c r="I61">
        <v>5</v>
      </c>
    </row>
    <row r="62" spans="1:9" x14ac:dyDescent="0.2">
      <c r="A62" t="s">
        <v>69</v>
      </c>
      <c r="B62" t="s">
        <v>66</v>
      </c>
      <c r="C62" t="s">
        <v>67</v>
      </c>
      <c r="D62" t="s">
        <v>18</v>
      </c>
      <c r="E62" t="s">
        <v>55</v>
      </c>
      <c r="F62" t="s">
        <v>33</v>
      </c>
      <c r="G62" s="1">
        <v>50000</v>
      </c>
      <c r="H62" s="1">
        <v>250000</v>
      </c>
      <c r="I62">
        <v>5</v>
      </c>
    </row>
    <row r="63" spans="1:9" x14ac:dyDescent="0.2">
      <c r="A63" t="s">
        <v>69</v>
      </c>
      <c r="B63" t="s">
        <v>66</v>
      </c>
      <c r="C63" t="s">
        <v>67</v>
      </c>
      <c r="D63" t="s">
        <v>18</v>
      </c>
      <c r="E63" t="s">
        <v>68</v>
      </c>
      <c r="F63" t="s">
        <v>33</v>
      </c>
      <c r="G63" s="1">
        <v>50000</v>
      </c>
      <c r="H63" s="1">
        <v>250000</v>
      </c>
      <c r="I63">
        <v>5</v>
      </c>
    </row>
    <row r="64" spans="1:9" x14ac:dyDescent="0.2">
      <c r="A64" t="s">
        <v>69</v>
      </c>
      <c r="B64" t="s">
        <v>66</v>
      </c>
      <c r="C64" t="s">
        <v>71</v>
      </c>
      <c r="D64" t="s">
        <v>70</v>
      </c>
      <c r="E64" t="s">
        <v>53</v>
      </c>
      <c r="F64" t="s">
        <v>33</v>
      </c>
      <c r="G64" s="1">
        <v>50000</v>
      </c>
      <c r="H64" s="1">
        <v>250000</v>
      </c>
      <c r="I64">
        <v>5</v>
      </c>
    </row>
    <row r="65" spans="1:9" x14ac:dyDescent="0.2">
      <c r="A65" t="s">
        <v>69</v>
      </c>
      <c r="B65" t="s">
        <v>66</v>
      </c>
      <c r="C65" t="s">
        <v>71</v>
      </c>
      <c r="D65" t="s">
        <v>70</v>
      </c>
      <c r="E65" t="s">
        <v>54</v>
      </c>
      <c r="F65" t="s">
        <v>33</v>
      </c>
      <c r="G65" s="1">
        <v>50000</v>
      </c>
      <c r="H65" s="1">
        <v>250000</v>
      </c>
      <c r="I65">
        <v>5</v>
      </c>
    </row>
    <row r="66" spans="1:9" x14ac:dyDescent="0.2">
      <c r="A66" t="s">
        <v>69</v>
      </c>
      <c r="B66" t="s">
        <v>66</v>
      </c>
      <c r="C66" t="s">
        <v>71</v>
      </c>
      <c r="D66" t="s">
        <v>70</v>
      </c>
      <c r="E66" t="s">
        <v>55</v>
      </c>
      <c r="F66" t="s">
        <v>33</v>
      </c>
      <c r="G66" s="1">
        <v>50000</v>
      </c>
      <c r="H66" s="1">
        <v>250000</v>
      </c>
      <c r="I66">
        <v>5</v>
      </c>
    </row>
    <row r="67" spans="1:9" x14ac:dyDescent="0.2">
      <c r="A67" t="s">
        <v>69</v>
      </c>
      <c r="B67" t="s">
        <v>66</v>
      </c>
      <c r="C67" t="s">
        <v>71</v>
      </c>
      <c r="D67" t="s">
        <v>70</v>
      </c>
      <c r="E67" t="s">
        <v>68</v>
      </c>
      <c r="F67" t="s">
        <v>33</v>
      </c>
      <c r="G67" s="1">
        <v>50000</v>
      </c>
      <c r="H67" s="1">
        <v>250000</v>
      </c>
      <c r="I67">
        <v>5</v>
      </c>
    </row>
    <row r="68" spans="1:9" x14ac:dyDescent="0.2">
      <c r="A68" t="s">
        <v>69</v>
      </c>
      <c r="B68" t="s">
        <v>72</v>
      </c>
      <c r="C68" t="s">
        <v>16</v>
      </c>
      <c r="D68" t="s">
        <v>73</v>
      </c>
      <c r="E68" t="s">
        <v>75</v>
      </c>
      <c r="F68" t="s">
        <v>74</v>
      </c>
      <c r="G68" s="1">
        <v>23000</v>
      </c>
      <c r="H68" s="1">
        <v>230000</v>
      </c>
      <c r="I68">
        <v>10</v>
      </c>
    </row>
    <row r="69" spans="1:9" x14ac:dyDescent="0.2">
      <c r="A69" t="s">
        <v>69</v>
      </c>
      <c r="B69" t="s">
        <v>72</v>
      </c>
      <c r="C69" t="s">
        <v>16</v>
      </c>
      <c r="D69" t="s">
        <v>73</v>
      </c>
      <c r="E69" t="s">
        <v>53</v>
      </c>
      <c r="F69" t="s">
        <v>74</v>
      </c>
      <c r="G69" s="1">
        <v>23000</v>
      </c>
      <c r="H69" s="1">
        <v>230000</v>
      </c>
      <c r="I69">
        <v>10</v>
      </c>
    </row>
    <row r="70" spans="1:9" x14ac:dyDescent="0.2">
      <c r="A70" t="s">
        <v>42</v>
      </c>
      <c r="B70" t="s">
        <v>72</v>
      </c>
      <c r="C70" t="s">
        <v>16</v>
      </c>
      <c r="D70" t="s">
        <v>73</v>
      </c>
      <c r="E70" t="s">
        <v>75</v>
      </c>
      <c r="F70" t="s">
        <v>74</v>
      </c>
      <c r="G70" s="1">
        <v>23000</v>
      </c>
      <c r="H70" s="1">
        <v>230000</v>
      </c>
      <c r="I70">
        <v>10</v>
      </c>
    </row>
    <row r="71" spans="1:9" x14ac:dyDescent="0.2">
      <c r="A71" t="s">
        <v>42</v>
      </c>
      <c r="B71" t="s">
        <v>72</v>
      </c>
      <c r="C71" t="s">
        <v>16</v>
      </c>
      <c r="D71" t="s">
        <v>73</v>
      </c>
      <c r="E71" t="s">
        <v>53</v>
      </c>
      <c r="F71" t="s">
        <v>74</v>
      </c>
      <c r="G71" s="1">
        <v>23000</v>
      </c>
      <c r="H71" s="1">
        <v>230000</v>
      </c>
      <c r="I71">
        <v>10</v>
      </c>
    </row>
    <row r="72" spans="1:9" x14ac:dyDescent="0.2">
      <c r="A72" t="s">
        <v>69</v>
      </c>
      <c r="B72" t="s">
        <v>72</v>
      </c>
      <c r="C72" t="s">
        <v>18</v>
      </c>
      <c r="D72" t="s">
        <v>76</v>
      </c>
      <c r="E72" t="s">
        <v>75</v>
      </c>
      <c r="F72" t="s">
        <v>74</v>
      </c>
      <c r="G72" s="1">
        <v>23000</v>
      </c>
      <c r="H72" s="1">
        <v>230000</v>
      </c>
      <c r="I72">
        <v>10</v>
      </c>
    </row>
    <row r="73" spans="1:9" x14ac:dyDescent="0.2">
      <c r="A73" t="s">
        <v>69</v>
      </c>
      <c r="B73" t="s">
        <v>72</v>
      </c>
      <c r="C73" t="s">
        <v>18</v>
      </c>
      <c r="D73" t="s">
        <v>76</v>
      </c>
      <c r="E73" t="s">
        <v>53</v>
      </c>
      <c r="F73" t="s">
        <v>74</v>
      </c>
      <c r="G73" s="1">
        <v>22000</v>
      </c>
      <c r="H73" s="1">
        <v>220000</v>
      </c>
      <c r="I73">
        <v>10</v>
      </c>
    </row>
    <row r="74" spans="1:9" x14ac:dyDescent="0.2">
      <c r="A74" t="s">
        <v>42</v>
      </c>
      <c r="B74" t="s">
        <v>72</v>
      </c>
      <c r="C74" t="s">
        <v>18</v>
      </c>
      <c r="D74" t="s">
        <v>76</v>
      </c>
      <c r="E74" t="s">
        <v>75</v>
      </c>
      <c r="F74" t="s">
        <v>74</v>
      </c>
      <c r="G74" s="1">
        <v>22000</v>
      </c>
      <c r="H74" s="1">
        <v>220000</v>
      </c>
      <c r="I74">
        <v>10</v>
      </c>
    </row>
    <row r="75" spans="1:9" x14ac:dyDescent="0.2">
      <c r="A75" t="s">
        <v>42</v>
      </c>
      <c r="B75" t="s">
        <v>72</v>
      </c>
      <c r="C75" t="s">
        <v>18</v>
      </c>
      <c r="D75" t="s">
        <v>76</v>
      </c>
      <c r="E75" t="s">
        <v>53</v>
      </c>
      <c r="F75" t="s">
        <v>74</v>
      </c>
      <c r="G75" s="1">
        <v>22000</v>
      </c>
      <c r="H75" s="1">
        <v>220000</v>
      </c>
      <c r="I75">
        <v>10</v>
      </c>
    </row>
    <row r="76" spans="1:9" x14ac:dyDescent="0.2">
      <c r="A76" t="s">
        <v>69</v>
      </c>
      <c r="B76" t="s">
        <v>72</v>
      </c>
      <c r="C76" t="s">
        <v>9</v>
      </c>
      <c r="D76" t="s">
        <v>77</v>
      </c>
      <c r="E76" s="2" t="s">
        <v>75</v>
      </c>
      <c r="F76" s="2" t="s">
        <v>74</v>
      </c>
      <c r="G76" s="3">
        <v>25000</v>
      </c>
      <c r="H76" s="3">
        <v>250000</v>
      </c>
      <c r="I76" s="4">
        <v>10</v>
      </c>
    </row>
    <row r="77" spans="1:9" x14ac:dyDescent="0.2">
      <c r="A77" t="s">
        <v>69</v>
      </c>
      <c r="B77" t="s">
        <v>72</v>
      </c>
      <c r="C77" t="s">
        <v>9</v>
      </c>
      <c r="D77" t="s">
        <v>77</v>
      </c>
      <c r="E77" s="5" t="s">
        <v>53</v>
      </c>
      <c r="F77" s="5" t="s">
        <v>74</v>
      </c>
      <c r="G77" s="6">
        <v>25000</v>
      </c>
      <c r="H77" s="6">
        <v>250000</v>
      </c>
      <c r="I77" s="7">
        <v>10</v>
      </c>
    </row>
    <row r="78" spans="1:9" x14ac:dyDescent="0.2">
      <c r="A78" t="s">
        <v>42</v>
      </c>
      <c r="B78" t="s">
        <v>72</v>
      </c>
      <c r="C78" t="s">
        <v>9</v>
      </c>
      <c r="D78" t="s">
        <v>77</v>
      </c>
      <c r="E78" s="2" t="s">
        <v>75</v>
      </c>
      <c r="F78" s="2" t="s">
        <v>74</v>
      </c>
      <c r="G78" s="3">
        <v>25000</v>
      </c>
      <c r="H78" s="3">
        <v>250000</v>
      </c>
      <c r="I78" s="4">
        <v>10</v>
      </c>
    </row>
    <row r="79" spans="1:9" x14ac:dyDescent="0.2">
      <c r="A79" t="s">
        <v>42</v>
      </c>
      <c r="B79" t="s">
        <v>72</v>
      </c>
      <c r="C79" t="s">
        <v>9</v>
      </c>
      <c r="D79" t="s">
        <v>77</v>
      </c>
      <c r="E79" s="5" t="s">
        <v>53</v>
      </c>
      <c r="F79" s="5" t="s">
        <v>74</v>
      </c>
      <c r="G79" s="6">
        <v>25000</v>
      </c>
      <c r="H79" s="6">
        <v>250000</v>
      </c>
      <c r="I79" s="7">
        <v>10</v>
      </c>
    </row>
    <row r="80" spans="1:9" x14ac:dyDescent="0.2">
      <c r="A80" t="s">
        <v>7</v>
      </c>
      <c r="B80" t="s">
        <v>78</v>
      </c>
      <c r="C80" t="s">
        <v>81</v>
      </c>
      <c r="D80" t="s">
        <v>79</v>
      </c>
      <c r="E80" t="s">
        <v>75</v>
      </c>
      <c r="F80" t="s">
        <v>33</v>
      </c>
      <c r="G80">
        <v>25000</v>
      </c>
      <c r="H80" s="1">
        <v>125000</v>
      </c>
      <c r="I80">
        <v>5</v>
      </c>
    </row>
    <row r="81" spans="1:9" x14ac:dyDescent="0.2">
      <c r="A81" t="s">
        <v>7</v>
      </c>
      <c r="B81" t="s">
        <v>78</v>
      </c>
      <c r="C81" t="s">
        <v>71</v>
      </c>
      <c r="D81" t="s">
        <v>84</v>
      </c>
      <c r="E81" t="s">
        <v>53</v>
      </c>
      <c r="F81" t="s">
        <v>33</v>
      </c>
      <c r="G81">
        <v>25000</v>
      </c>
      <c r="H81" s="1">
        <v>125000</v>
      </c>
      <c r="I81">
        <v>5</v>
      </c>
    </row>
    <row r="82" spans="1:9" x14ac:dyDescent="0.2">
      <c r="A82" t="s">
        <v>7</v>
      </c>
      <c r="B82" t="s">
        <v>78</v>
      </c>
      <c r="C82" t="s">
        <v>51</v>
      </c>
      <c r="D82" t="s">
        <v>85</v>
      </c>
      <c r="E82" t="s">
        <v>54</v>
      </c>
      <c r="F82" t="s">
        <v>33</v>
      </c>
      <c r="G82">
        <v>25000</v>
      </c>
      <c r="H82" s="1">
        <v>125000</v>
      </c>
      <c r="I82">
        <v>5</v>
      </c>
    </row>
    <row r="83" spans="1:9" x14ac:dyDescent="0.2">
      <c r="A83" t="s">
        <v>7</v>
      </c>
      <c r="B83" t="s">
        <v>78</v>
      </c>
      <c r="C83" t="s">
        <v>80</v>
      </c>
      <c r="D83" t="s">
        <v>86</v>
      </c>
      <c r="E83" t="s">
        <v>55</v>
      </c>
      <c r="F83" t="s">
        <v>33</v>
      </c>
      <c r="G83">
        <v>25000</v>
      </c>
      <c r="H83" s="1">
        <v>125000</v>
      </c>
      <c r="I83">
        <v>5</v>
      </c>
    </row>
    <row r="84" spans="1:9" x14ac:dyDescent="0.2">
      <c r="A84" t="s">
        <v>7</v>
      </c>
      <c r="B84" t="s">
        <v>78</v>
      </c>
      <c r="C84" t="s">
        <v>20</v>
      </c>
      <c r="D84" t="s">
        <v>87</v>
      </c>
      <c r="E84" t="s">
        <v>68</v>
      </c>
      <c r="F84" t="s">
        <v>33</v>
      </c>
      <c r="G84">
        <v>25000</v>
      </c>
      <c r="H84" s="1">
        <v>125000</v>
      </c>
      <c r="I84">
        <v>5</v>
      </c>
    </row>
    <row r="85" spans="1:9" x14ac:dyDescent="0.2">
      <c r="A85" t="s">
        <v>7</v>
      </c>
      <c r="B85" t="s">
        <v>78</v>
      </c>
      <c r="C85" t="s">
        <v>82</v>
      </c>
      <c r="D85" t="s">
        <v>88</v>
      </c>
      <c r="E85" t="s">
        <v>90</v>
      </c>
      <c r="F85" t="s">
        <v>33</v>
      </c>
      <c r="G85">
        <v>25000</v>
      </c>
      <c r="H85" s="1">
        <v>125000</v>
      </c>
      <c r="I85">
        <v>5</v>
      </c>
    </row>
    <row r="86" spans="1:9" x14ac:dyDescent="0.2">
      <c r="A86" t="s">
        <v>7</v>
      </c>
      <c r="B86" t="s">
        <v>78</v>
      </c>
      <c r="C86" t="s">
        <v>83</v>
      </c>
      <c r="D86" t="s">
        <v>89</v>
      </c>
      <c r="E86" t="s">
        <v>59</v>
      </c>
      <c r="F86" t="s">
        <v>33</v>
      </c>
      <c r="G86">
        <v>25000</v>
      </c>
      <c r="H86" s="1">
        <v>125000</v>
      </c>
      <c r="I86">
        <v>5</v>
      </c>
    </row>
    <row r="87" spans="1:9" x14ac:dyDescent="0.2">
      <c r="A87" t="s">
        <v>7</v>
      </c>
      <c r="B87" t="s">
        <v>91</v>
      </c>
      <c r="C87" t="s">
        <v>94</v>
      </c>
      <c r="D87" t="s">
        <v>92</v>
      </c>
      <c r="E87" t="s">
        <v>75</v>
      </c>
      <c r="F87" t="s">
        <v>95</v>
      </c>
      <c r="G87" s="1">
        <v>70000</v>
      </c>
      <c r="H87">
        <f>Table1[[#This Row],[cost_per_stem]]*Table1[[#This Row],[quantity]]</f>
        <v>350000</v>
      </c>
      <c r="I87">
        <v>5</v>
      </c>
    </row>
    <row r="88" spans="1:9" x14ac:dyDescent="0.2">
      <c r="A88" t="s">
        <v>7</v>
      </c>
      <c r="B88" t="s">
        <v>91</v>
      </c>
      <c r="C88" t="s">
        <v>12</v>
      </c>
      <c r="D88" t="s">
        <v>93</v>
      </c>
      <c r="E88" t="s">
        <v>75</v>
      </c>
      <c r="F88" t="s">
        <v>95</v>
      </c>
      <c r="G88" s="1">
        <v>70000</v>
      </c>
      <c r="H88">
        <f>Table1[[#This Row],[cost_per_stem]]*Table1[[#This Row],[quantity]]</f>
        <v>350000</v>
      </c>
      <c r="I88">
        <v>5</v>
      </c>
    </row>
    <row r="89" spans="1:9" x14ac:dyDescent="0.2">
      <c r="A89" t="s">
        <v>7</v>
      </c>
      <c r="B89" t="s">
        <v>91</v>
      </c>
      <c r="C89" t="s">
        <v>94</v>
      </c>
      <c r="D89" t="s">
        <v>92</v>
      </c>
      <c r="E89" t="s">
        <v>53</v>
      </c>
      <c r="F89" t="s">
        <v>95</v>
      </c>
      <c r="G89" s="1">
        <v>70000</v>
      </c>
      <c r="H89">
        <f>Table1[[#This Row],[cost_per_stem]]*Table1[[#This Row],[quantity]]</f>
        <v>350000</v>
      </c>
      <c r="I89">
        <v>5</v>
      </c>
    </row>
    <row r="90" spans="1:9" x14ac:dyDescent="0.2">
      <c r="A90" t="s">
        <v>7</v>
      </c>
      <c r="B90" t="s">
        <v>91</v>
      </c>
      <c r="C90" t="s">
        <v>12</v>
      </c>
      <c r="D90" t="s">
        <v>93</v>
      </c>
      <c r="E90" t="s">
        <v>53</v>
      </c>
      <c r="F90" t="s">
        <v>95</v>
      </c>
      <c r="G90" s="1">
        <v>70000</v>
      </c>
      <c r="H90">
        <f>Table1[[#This Row],[cost_per_stem]]*Table1[[#This Row],[quantity]]</f>
        <v>350000</v>
      </c>
      <c r="I90">
        <v>5</v>
      </c>
    </row>
    <row r="91" spans="1:9" x14ac:dyDescent="0.2">
      <c r="A91" t="s">
        <v>7</v>
      </c>
      <c r="B91" t="s">
        <v>91</v>
      </c>
      <c r="C91" t="s">
        <v>94</v>
      </c>
      <c r="D91" t="s">
        <v>92</v>
      </c>
      <c r="E91" t="s">
        <v>54</v>
      </c>
      <c r="F91" t="s">
        <v>95</v>
      </c>
      <c r="G91" s="1">
        <v>70000</v>
      </c>
      <c r="H91">
        <f>Table1[[#This Row],[cost_per_stem]]*Table1[[#This Row],[quantity]]</f>
        <v>350000</v>
      </c>
      <c r="I91">
        <v>5</v>
      </c>
    </row>
    <row r="92" spans="1:9" x14ac:dyDescent="0.2">
      <c r="A92" t="s">
        <v>7</v>
      </c>
      <c r="B92" t="s">
        <v>91</v>
      </c>
      <c r="C92" t="s">
        <v>12</v>
      </c>
      <c r="D92" t="s">
        <v>93</v>
      </c>
      <c r="E92" t="s">
        <v>54</v>
      </c>
      <c r="F92" t="s">
        <v>95</v>
      </c>
      <c r="G92" s="1">
        <v>70000</v>
      </c>
      <c r="H92">
        <f>Table1[[#This Row],[cost_per_stem]]*Table1[[#This Row],[quantity]]</f>
        <v>350000</v>
      </c>
      <c r="I92">
        <v>5</v>
      </c>
    </row>
    <row r="93" spans="1:9" x14ac:dyDescent="0.2">
      <c r="A93" t="s">
        <v>7</v>
      </c>
      <c r="B93" t="s">
        <v>96</v>
      </c>
      <c r="C93" t="s">
        <v>16</v>
      </c>
      <c r="D93" t="s">
        <v>16</v>
      </c>
      <c r="E93" t="s">
        <v>47</v>
      </c>
      <c r="F93" t="s">
        <v>11</v>
      </c>
      <c r="G93">
        <v>9000</v>
      </c>
      <c r="H93">
        <f>Table1[[#This Row],[cost_per_stem]]*Table1[[#This Row],[quantity]]</f>
        <v>45000</v>
      </c>
      <c r="I93">
        <v>5</v>
      </c>
    </row>
    <row r="94" spans="1:9" x14ac:dyDescent="0.2">
      <c r="A94" t="s">
        <v>49</v>
      </c>
      <c r="B94" t="s">
        <v>97</v>
      </c>
      <c r="C94" t="s">
        <v>39</v>
      </c>
      <c r="D94" t="s">
        <v>39</v>
      </c>
      <c r="E94" t="s">
        <v>47</v>
      </c>
      <c r="F94" t="s">
        <v>11</v>
      </c>
      <c r="G94">
        <f>Table1[[#This Row],[cost_per_bunch]]/Table1[[#This Row],[quantity]]</f>
        <v>8000</v>
      </c>
      <c r="H94">
        <v>40000</v>
      </c>
      <c r="I94">
        <v>5</v>
      </c>
    </row>
    <row r="95" spans="1:9" x14ac:dyDescent="0.2">
      <c r="A95" t="s">
        <v>69</v>
      </c>
      <c r="B95" t="s">
        <v>98</v>
      </c>
      <c r="C95" t="s">
        <v>16</v>
      </c>
      <c r="D95" t="s">
        <v>99</v>
      </c>
      <c r="E95" t="s">
        <v>61</v>
      </c>
      <c r="F95" t="s">
        <v>33</v>
      </c>
      <c r="G95">
        <v>30000</v>
      </c>
      <c r="H95">
        <f>Table1[[#This Row],[cost_per_stem]]*Table1[[#This Row],[quantity]]</f>
        <v>150000</v>
      </c>
      <c r="I95">
        <v>5</v>
      </c>
    </row>
    <row r="96" spans="1:9" x14ac:dyDescent="0.2">
      <c r="A96" t="s">
        <v>69</v>
      </c>
      <c r="B96" t="s">
        <v>98</v>
      </c>
      <c r="C96" t="s">
        <v>16</v>
      </c>
      <c r="D96" t="s">
        <v>99</v>
      </c>
      <c r="E96" t="s">
        <v>100</v>
      </c>
      <c r="F96" t="s">
        <v>33</v>
      </c>
      <c r="G96">
        <v>30000</v>
      </c>
      <c r="H96">
        <f>Table1[[#This Row],[cost_per_stem]]*Table1[[#This Row],[quantity]]</f>
        <v>150000</v>
      </c>
      <c r="I96">
        <v>5</v>
      </c>
    </row>
    <row r="97" spans="1:9" x14ac:dyDescent="0.2">
      <c r="A97" t="s">
        <v>69</v>
      </c>
      <c r="B97" t="s">
        <v>98</v>
      </c>
      <c r="C97" t="s">
        <v>16</v>
      </c>
      <c r="D97" t="s">
        <v>99</v>
      </c>
      <c r="E97" t="s">
        <v>101</v>
      </c>
      <c r="F97" t="s">
        <v>33</v>
      </c>
      <c r="G97">
        <v>30000</v>
      </c>
      <c r="H97">
        <f>Table1[[#This Row],[cost_per_stem]]*Table1[[#This Row],[quantity]]</f>
        <v>150000</v>
      </c>
      <c r="I97">
        <v>5</v>
      </c>
    </row>
    <row r="98" spans="1:9" x14ac:dyDescent="0.2">
      <c r="A98" t="s">
        <v>69</v>
      </c>
      <c r="B98" t="s">
        <v>98</v>
      </c>
      <c r="C98" t="s">
        <v>16</v>
      </c>
      <c r="D98" t="s">
        <v>99</v>
      </c>
      <c r="E98" t="s">
        <v>102</v>
      </c>
      <c r="F98" t="s">
        <v>33</v>
      </c>
      <c r="G98">
        <v>30000</v>
      </c>
      <c r="H98">
        <f>Table1[[#This Row],[cost_per_stem]]*Table1[[#This Row],[quantity]]</f>
        <v>150000</v>
      </c>
      <c r="I98">
        <v>5</v>
      </c>
    </row>
    <row r="99" spans="1:9" x14ac:dyDescent="0.2">
      <c r="A99" t="s">
        <v>69</v>
      </c>
      <c r="B99" t="s">
        <v>98</v>
      </c>
      <c r="C99" t="s">
        <v>16</v>
      </c>
      <c r="D99" t="s">
        <v>99</v>
      </c>
      <c r="E99" t="s">
        <v>103</v>
      </c>
      <c r="F99" t="s">
        <v>33</v>
      </c>
      <c r="G99">
        <v>30000</v>
      </c>
      <c r="H99">
        <f>Table1[[#This Row],[cost_per_stem]]*Table1[[#This Row],[quantity]]</f>
        <v>150000</v>
      </c>
      <c r="I99">
        <v>5</v>
      </c>
    </row>
  </sheetData>
  <phoneticPr fontId="19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flowers_dictionary_indo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Wiraatmadja</dc:creator>
  <cp:lastModifiedBy>Helena Wiraatmadja</cp:lastModifiedBy>
  <dcterms:created xsi:type="dcterms:W3CDTF">2026-05-01T18:04:57Z</dcterms:created>
  <dcterms:modified xsi:type="dcterms:W3CDTF">2026-05-05T21:01:00Z</dcterms:modified>
</cp:coreProperties>
</file>